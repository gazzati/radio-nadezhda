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291644919743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Бюджет запуска" sheetId="1" r:id="R3727e438201b4b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sz val="10"/>
      <x:color rgb="FF213D67"/>
      <x:name val="Arial"/>
    </x:font>
    <x:font>
      <x:b/>
      <x:sz val="16"/>
      <x:color rgb="FFFFFFFF"/>
      <x:name val="Arial"/>
    </x:font>
    <x:font>
      <x:i/>
      <x:sz val="10"/>
      <x:color rgb="FF5C6E87"/>
      <x:name val="Arial"/>
    </x:font>
    <x:font>
      <x:b/>
      <x:sz val="10"/>
      <x:color rgb="FF213D67"/>
      <x:name val="Arial"/>
    </x:font>
    <x:font>
      <x:i/>
      <x:sz val="9"/>
      <x:color rgb="FF5C6E8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13D67"/>
      </x:patternFill>
    </x:fill>
    <x:fill>
      <x:patternFill patternType="solid">
        <x:fgColor rgb="FFD9E5F0"/>
      </x:patternFill>
    </x:fill>
    <x:fill>
      <x:patternFill patternType="solid">
        <x:fgColor rgb="FFFFF2CC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D9E2EC"/>
      </x:bottom>
      <x:diagonal/>
    </x:border>
    <x:border>
      <x:left/>
      <x:right/>
      <x:top style="thin">
        <x:color rgb="FFD9E2EC"/>
      </x:top>
      <x:bottom style="thin">
        <x:color rgb="FFD9E2EC"/>
      </x:bottom>
      <x:diagonal/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0" borderId="0" xfId="0" applyNumberFormat="1" applyFont="1" applyFill="1" applyBorder="1"/>
    <x:xf numFmtId="0" fontId="1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1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3" borderId="1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200" fontId="1" fillId="0" borderId="2" xfId="0" applyNumberFormat="1" applyFont="1" applyFill="1" applyBorder="1"/>
    <x:xf numFmtId="200" fontId="4" fillId="0" borderId="2" xfId="0" applyNumberFormat="1" applyFont="1" applyFill="1" applyBorder="1"/>
    <x:xf numFmtId="0" fontId="4" fillId="0" borderId="2" xfId="0" applyNumberFormat="1" applyFont="1" applyFill="1" applyBorder="1"/>
    <x:xf numFmtId="0" fontId="1" fillId="4" borderId="2" xfId="0" applyNumberFormat="1" applyFont="1" applyFill="1" applyBorder="1"/>
    <x:xf numFmtId="200" fontId="1" fillId="4" borderId="2" xfId="0" applyNumberFormat="1" applyFont="1" applyFill="1" applyBorder="1"/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0" fontId="1" fillId="4" borderId="2" xfId="0" applyNumberFormat="1" applyFont="1" applyFill="1" applyBorder="1" applyAlignment="1">
      <x:alignment vertical="center"/>
    </x:xf>
    <x:xf numFmtId="200" fontId="1" fillId="4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4" fillId="0" borderId="2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404c8feb884112" /><Relationship Type="http://schemas.openxmlformats.org/officeDocument/2006/relationships/theme" Target="/xl/theme/theme1.xml" Id="R62560734e5d64d0f" /><Relationship Type="http://schemas.openxmlformats.org/officeDocument/2006/relationships/sharedStrings" Target="/xl/sharedStrings.xml" Id="Rca1dc2ed6f354903" /><Relationship Type="http://schemas.openxmlformats.org/officeDocument/2006/relationships/worksheet" Target="/xl/worksheets/sheet1.xml" Id="R3727e438201b4b8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13D6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6" hidden="0" customWidth="1"/>
    <x:col min="5" max="5" width="18" hidden="0" customWidth="1"/>
    <x:col min="6" max="6" width="58" hidden="0" customWidth="1"/>
  </x:cols>
  <x:sheetData>
    <x:row r="1">
      <x:c r="A1" s="22" t="str">
        <x:v>«Территория гор» — бюджет надёжного запуска</x:v>
      </x:c>
      <x:c r="B1" s="22"/>
      <x:c r="C1" s="22"/>
      <x:c r="D1" s="22"/>
      <x:c r="E1" s="22"/>
      <x:c r="F1" s="22"/>
    </x:row>
    <x:row r="2">
      <x:c r="A2" s="23" t="str">
        <x:v>Разовые расходы и ежемесячная стоимость эксплуатации</x:v>
      </x:c>
      <x:c r="B2" s="23"/>
      <x:c r="C2" s="23"/>
      <x:c r="D2" s="23"/>
      <x:c r="E2" s="23"/>
      <x:c r="F2" s="23"/>
    </x:row>
    <x:row r="3">
      <x:c r="A3" s="24"/>
      <x:c r="B3" s="24"/>
      <x:c r="C3" s="24"/>
      <x:c r="D3" s="24"/>
      <x:c r="E3" s="24"/>
      <x:c r="F3" s="24"/>
    </x:row>
    <x:row r="4">
      <x:c r="A4" s="13" t="str">
        <x:v>Разовые расходы</x:v>
      </x:c>
      <x:c r="B4" s="13" t="str">
        <x:v>Количество</x:v>
      </x:c>
      <x:c r="C4" s="13" t="str">
        <x:v>Цена, ₽</x:v>
      </x:c>
      <x:c r="D4" s="13" t="str">
        <x:v>Сумма, ₽</x:v>
      </x:c>
      <x:c r="E4" s="13" t="str">
        <x:v>Статус</x:v>
      </x:c>
      <x:c r="F4" s="13" t="str">
        <x:v>Комментарий</x:v>
      </x:c>
    </x:row>
    <x:row r="5">
      <x:c r="A5" s="25" t="str">
        <x:v>RadioBOSS Standard</x:v>
      </x:c>
      <x:c r="B5" s="26" t="n">
        <x:v>1</x:v>
      </x:c>
      <x:c r="C5" s="27" t="n">
        <x:v>6599</x:v>
      </x:c>
      <x:c r="D5" s="28" t="n">
        <x:f>B5*C5</x:f>
        <x:v>6599</x:v>
      </x:c>
      <x:c r="E5" s="25" t="str">
        <x:v>Нужно купить</x:v>
      </x:c>
      <x:c r="F5" s="25" t="str">
        <x:v>Для физического лица; бессрочная лицензия</x:v>
      </x:c>
    </x:row>
    <x:row r="6">
      <x:c r="A6" s="25" t="str">
        <x:v>RadioBOSS Advanced</x:v>
      </x:c>
      <x:c r="B6" s="26" t="n">
        <x:v>0</x:v>
      </x:c>
      <x:c r="C6" s="27" t="n">
        <x:v>8299</x:v>
      </x:c>
      <x:c r="D6" s="28" t="n">
        <x:f>B6*C6</x:f>
        <x:v>0</x:v>
      </x:c>
      <x:c r="E6" s="25" t="str">
        <x:v>Вариант</x:v>
      </x:c>
      <x:c r="F6" s="25" t="str">
        <x:v>Можно выбрать вместо Standard</x:v>
      </x:c>
    </x:row>
    <x:row r="7">
      <x:c r="A7" s="25" t="str">
        <x:v>Сервер: переезд на VPS 4 CPU / 4 ГБ RAM</x:v>
      </x:c>
      <x:c r="B7" s="26" t="n">
        <x:v>1</x:v>
      </x:c>
      <x:c r="C7" s="27" t="n">
        <x:v>0</x:v>
      </x:c>
      <x:c r="D7" s="28" t="n">
        <x:f>B7*C7</x:f>
        <x:v>0</x:v>
      </x:c>
      <x:c r="E7" s="25" t="str">
        <x:v>Оценить</x:v>
      </x:c>
      <x:c r="F7" s="25" t="str">
        <x:v>Стоимость учитывается в ежемесячных расходах</x:v>
      </x:c>
    </x:row>
    <x:row r="8">
      <x:c r="A8" s="25" t="str">
        <x:v>Микрофон</x:v>
      </x:c>
      <x:c r="B8" s="26" t="n">
        <x:v>1</x:v>
      </x:c>
      <x:c r="C8" s="27" t="n">
        <x:v>15000</x:v>
      </x:c>
      <x:c r="D8" s="28" t="n">
        <x:f>B8*C8</x:f>
        <x:v>15000</x:v>
      </x:c>
      <x:c r="E8" s="25" t="str">
        <x:v>Если нет</x:v>
      </x:c>
      <x:c r="F8" s="25" t="str">
        <x:v>Средний ориентир</x:v>
      </x:c>
    </x:row>
    <x:row r="9">
      <x:c r="A9" s="25" t="str">
        <x:v>Звуковая карта / аудиоинтерфейс</x:v>
      </x:c>
      <x:c r="B9" s="26" t="n">
        <x:v>1</x:v>
      </x:c>
      <x:c r="C9" s="27" t="n">
        <x:v>12000</x:v>
      </x:c>
      <x:c r="D9" s="28" t="n">
        <x:f>B9*C9</x:f>
        <x:v>12000</x:v>
      </x:c>
      <x:c r="E9" s="25" t="str">
        <x:v>Если нет</x:v>
      </x:c>
      <x:c r="F9" s="25" t="str">
        <x:v>Средний ориентир</x:v>
      </x:c>
    </x:row>
    <x:row r="10">
      <x:c r="A10" s="25" t="str">
        <x:v>Кабели, стойка, мелкие аксессуары</x:v>
      </x:c>
      <x:c r="B10" s="26" t="n">
        <x:v>1</x:v>
      </x:c>
      <x:c r="C10" s="27" t="n">
        <x:v>5000</x:v>
      </x:c>
      <x:c r="D10" s="28" t="n">
        <x:f>B10*C10</x:f>
        <x:v>5000</x:v>
      </x:c>
      <x:c r="E10" s="25" t="str">
        <x:v>Если нет</x:v>
      </x:c>
      <x:c r="F10" s="25" t="str">
        <x:v>Резерв на подключение</x:v>
      </x:c>
    </x:row>
    <x:row r="11">
      <x:c r="A11" s="25" t="str">
        <x:v>Первичная настройка и тестирование</x:v>
      </x:c>
      <x:c r="B11" s="26" t="n">
        <x:v>1</x:v>
      </x:c>
      <x:c r="C11" s="27" t="n">
        <x:v>0</x:v>
      </x:c>
      <x:c r="D11" s="28" t="n">
        <x:f>B11*C11</x:f>
        <x:v>0</x:v>
      </x:c>
      <x:c r="E11" s="25" t="str">
        <x:v>Своими силами</x:v>
      </x:c>
      <x:c r="F11" s="25" t="str">
        <x:v>При самостоятельной настройке</x:v>
      </x:c>
    </x:row>
    <x:row r="12">
      <x:c r="A12" s="25" t="str">
        <x:v>Итого разовые расходы</x:v>
      </x:c>
      <x:c r="B12" s="25"/>
      <x:c r="C12" s="28"/>
      <x:c r="D12" s="29" t="n">
        <x:f>SUM(D5:D11)</x:f>
        <x:v>38599</x:v>
      </x:c>
      <x:c r="E12" s="30"/>
      <x:c r="F12" s="30" t="str">
        <x:v>Без учёта необязательного Advanced</x:v>
      </x:c>
    </x:row>
    <x:row r="13">
      <x:c r="A13" s="24"/>
      <x:c r="B13" s="24"/>
      <x:c r="C13" s="24"/>
      <x:c r="D13" s="24"/>
      <x:c r="E13" s="24"/>
      <x:c r="F13" s="24"/>
    </x:row>
    <x:row r="14">
      <x:c r="A14" s="24"/>
      <x:c r="B14" s="24"/>
      <x:c r="C14" s="24"/>
      <x:c r="D14" s="24"/>
      <x:c r="E14" s="24"/>
      <x:c r="F14" s="24"/>
    </x:row>
    <x:row r="15">
      <x:c r="A15" s="13" t="str">
        <x:v>Ежемесячные расходы</x:v>
      </x:c>
      <x:c r="B15" s="13" t="str">
        <x:v>Количество</x:v>
      </x:c>
      <x:c r="C15" s="13" t="str">
        <x:v>Цена, ₽/мес</x:v>
      </x:c>
      <x:c r="D15" s="13" t="str">
        <x:v>Сумма, ₽/мес</x:v>
      </x:c>
      <x:c r="E15" s="13" t="str">
        <x:v>Комментарий</x:v>
      </x:c>
      <x:c r="F15" s="13"/>
    </x:row>
    <x:row r="16">
      <x:c r="A16" s="25" t="str">
        <x:v>VPS для AzuraCast</x:v>
      </x:c>
      <x:c r="B16" s="26" t="n">
        <x:v>1</x:v>
      </x:c>
      <x:c r="C16" s="27" t="n">
        <x:v>1200</x:v>
      </x:c>
      <x:c r="D16" s="28" t="n">
        <x:f>B16*C16</x:f>
        <x:v>1200</x:v>
      </x:c>
      <x:c r="E16" s="25" t="str">
        <x:v>Ориентир для 4 CPU / 4 ГБ RAM; текущий сервер слабоват для надёжной работы</x:v>
      </x:c>
      <x:c r="F16" s="25"/>
    </x:row>
    <x:row r="17">
      <x:c r="A17" s="25" t="str">
        <x:v>Резервные копии</x:v>
      </x:c>
      <x:c r="B17" s="26" t="n">
        <x:v>1</x:v>
      </x:c>
      <x:c r="C17" s="27" t="n">
        <x:v>300</x:v>
      </x:c>
      <x:c r="D17" s="28" t="n">
        <x:f>B17*C17</x:f>
        <x:v>300</x:v>
      </x:c>
      <x:c r="E17" s="25" t="str">
        <x:v>Ориентир; зависит от выбранного хранилища</x:v>
      </x:c>
      <x:c r="F17" s="25"/>
    </x:row>
    <x:row r="18">
      <x:c r="A18" s="25" t="str">
        <x:v>Обновление RadioBOSS после первого года</x:v>
      </x:c>
      <x:c r="B18" s="26" t="n">
        <x:v>0</x:v>
      </x:c>
      <x:c r="C18" s="27" t="n">
        <x:v>0</x:v>
      </x:c>
      <x:c r="D18" s="28" t="n">
        <x:f>B18*C18</x:f>
        <x:v>0</x:v>
      </x:c>
      <x:c r="E18" s="25" t="str">
        <x:v>Не обязательно: купленная лицензия продолжает работать</x:v>
      </x:c>
      <x:c r="F18" s="25"/>
    </x:row>
    <x:row r="19">
      <x:c r="A19" s="25" t="str">
        <x:v>Музыкальные права</x:v>
      </x:c>
      <x:c r="B19" s="26" t="n">
        <x:v>1</x:v>
      </x:c>
      <x:c r="C19" s="27" t="n">
        <x:v>0</x:v>
      </x:c>
      <x:c r="D19" s="28" t="n">
        <x:f>B19*C19</x:f>
        <x:v>0</x:v>
      </x:c>
      <x:c r="E19" s="25" t="str">
        <x:v>Нужно определить отдельно по каталогу музыки</x:v>
      </x:c>
      <x:c r="F19" s="25"/>
    </x:row>
    <x:row r="20">
      <x:c r="A20" s="25" t="str">
        <x:v>Итого ежемесячно</x:v>
      </x:c>
      <x:c r="B20" s="25"/>
      <x:c r="C20" s="28"/>
      <x:c r="D20" s="29" t="n">
        <x:f>SUM(D16:D19)</x:f>
        <x:v>1500</x:v>
      </x:c>
      <x:c r="E20" s="30" t="str">
        <x:v>Расчёт в рублях</x:v>
      </x:c>
      <x:c r="F20" s="30"/>
    </x:row>
    <x:row r="21">
      <x:c r="A21" s="24"/>
      <x:c r="B21" s="24"/>
      <x:c r="C21" s="24"/>
      <x:c r="D21" s="24"/>
      <x:c r="E21" s="24"/>
      <x:c r="F21" s="24"/>
    </x:row>
    <x:row r="22">
      <x:c r="A22" s="24"/>
      <x:c r="B22" s="24"/>
      <x:c r="C22" s="24"/>
      <x:c r="D22" s="24"/>
      <x:c r="E22" s="24"/>
      <x:c r="F22" s="24"/>
    </x:row>
    <x:row r="23">
      <x:c r="A23" s="13" t="str">
        <x:v>Ключевые итоги</x:v>
      </x:c>
      <x:c r="B23" s="13" t="str">
        <x:v>Значение</x:v>
      </x:c>
      <x:c r="C23" s="13" t="str">
        <x:v>Единица</x:v>
      </x:c>
      <x:c r="D23" s="13" t="str">
        <x:v>Расчёт</x:v>
      </x:c>
      <x:c r="E23" s="13" t="str">
        <x:v>Примечание</x:v>
      </x:c>
      <x:c r="F23" s="24"/>
    </x:row>
    <x:row r="24">
      <x:c r="A24" s="25" t="str">
        <x:v>Старт без новой техники</x:v>
      </x:c>
      <x:c r="B24" s="27" t="n">
        <x:f>D5</x:f>
        <x:v>6599</x:v>
      </x:c>
      <x:c r="C24" s="25" t="str">
        <x:v>₽</x:v>
      </x:c>
      <x:c r="D24" s="25" t="str">
        <x:v>RadioBOSS + без техники</x:v>
      </x:c>
      <x:c r="E24" s="25" t="str">
        <x:v>Если микрофон и аудиокарта уже есть</x:v>
      </x:c>
      <x:c r="F24" s="24"/>
    </x:row>
    <x:row r="25">
      <x:c r="A25" s="30" t="str">
        <x:v>Старт с техникой</x:v>
      </x:c>
      <x:c r="B25" s="29" t="n">
        <x:f>D12</x:f>
        <x:v>38599</x:v>
      </x:c>
      <x:c r="C25" s="25" t="str">
        <x:v>₽</x:v>
      </x:c>
      <x:c r="D25" s="25" t="str">
        <x:v>RadioBOSS + микрофон + интерфейс + кабели</x:v>
      </x:c>
      <x:c r="E25" s="25" t="str">
        <x:v>Текущая оценка</x:v>
      </x:c>
      <x:c r="F25" s="24"/>
    </x:row>
    <x:row r="26">
      <x:c r="A26" s="30" t="str">
        <x:v>Первый год эксплуатации</x:v>
      </x:c>
      <x:c r="B26" s="29" t="n">
        <x:f>B25+12*D20</x:f>
        <x:v>56599</x:v>
      </x:c>
      <x:c r="C26" s="25" t="str">
        <x:v>₽</x:v>
      </x:c>
      <x:c r="D26" s="25" t="str">
        <x:v>Старт с техникой + 12 × ежемесячные</x:v>
      </x:c>
      <x:c r="E26" s="25" t="str">
        <x:v>Без музыкальных прав</x:v>
      </x:c>
      <x:c r="F26" s="24"/>
    </x:row>
    <x:row r="27">
      <x:c r="A27" s="30" t="str">
        <x:v>Первый год без новой техники</x:v>
      </x:c>
      <x:c r="B27" s="29" t="n">
        <x:f>B24+12*D20</x:f>
        <x:v>24599</x:v>
      </x:c>
      <x:c r="C27" s="25" t="str">
        <x:v>₽</x:v>
      </x:c>
      <x:c r="D27" s="25" t="str">
        <x:v>Старт без техники + 12 × ежемесячные</x:v>
      </x:c>
      <x:c r="E27" s="25" t="str">
        <x:v>Без музыкальных прав</x:v>
      </x:c>
      <x:c r="F27" s="24"/>
    </x:row>
    <x:row r="28">
      <x:c r="A28" s="30"/>
      <x:c r="B28" s="30"/>
      <x:c r="C28" s="25"/>
      <x:c r="D28" s="25"/>
      <x:c r="E28" s="25"/>
      <x:c r="F28" s="24"/>
    </x:row>
    <x:row r="29">
      <x:c r="A29" s="24"/>
      <x:c r="B29" s="24"/>
      <x:c r="C29" s="24"/>
      <x:c r="D29" s="24"/>
      <x:c r="E29" s="24"/>
      <x:c r="F29" s="24"/>
    </x:row>
    <x:row r="30">
      <x:c r="A30" s="24"/>
      <x:c r="B30" s="24"/>
      <x:c r="C30" s="24"/>
      <x:c r="D30" s="24"/>
      <x:c r="E30" s="24"/>
      <x:c r="F30" s="24"/>
    </x:row>
    <x:row r="31" ht="42" customHeight="1">
      <x:c r="A31" s="31" t="str">
        <x:v>Допущения: домен, SSL, сайт и текущая серверная площадка уже есть. AzuraCast бесплатен. VPS и музыкальные права указаны ориентировочно. Цены RadioBOSS взяты с официального сайта; перед покупкой проверьте актуальную цену и статус оплаты.</x:v>
      </x:c>
      <x:c r="B31" s="31"/>
      <x:c r="C31" s="31"/>
      <x:c r="D31" s="31"/>
      <x:c r="E31" s="31"/>
      <x:c r="F31" s="31"/>
    </x:row>
  </x:sheetData>
  <x:mergeCells>
    <x:mergeCell ref="A1:F1"/>
    <x:mergeCell ref="A2:F2"/>
    <x:mergeCell ref="A31:F31"/>
  </x:mergeCells>
  <x:pageMargins left="0.7" right="0.7" top="0.75" bottom="0.75" header="0.3" footer="0.3"/>
</x:worksheet>
</file>